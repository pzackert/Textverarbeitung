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zübersicht" sheetId="1" state="visible" r:id="rId1"/>
    <sheet xmlns:r="http://schemas.openxmlformats.org/officeDocument/2006/relationships" name="Personalplanung" sheetId="2" state="visible" r:id="rId2"/>
    <sheet xmlns:r="http://schemas.openxmlformats.org/officeDocument/2006/relationships" name="Meilensteine" sheetId="3" state="visible" r:id="rId3"/>
    <sheet xmlns:r="http://schemas.openxmlformats.org/officeDocument/2006/relationships" name="Ertragsplan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HafenTech Solutions GmbH - Smart Port Analytics</t>
        </is>
      </c>
    </row>
    <row r="2">
      <c r="A2" s="2" t="inlineStr">
        <is>
          <t>Projektfinanzierung und Ertragsplanung</t>
        </is>
      </c>
    </row>
    <row r="3">
      <c r="A3" t="inlineStr">
        <is>
          <t>Datum: 18.11.2025</t>
        </is>
      </c>
    </row>
    <row r="5">
      <c r="A5" s="3" t="inlineStr">
        <is>
          <t>Projekteckdaten</t>
        </is>
      </c>
    </row>
    <row r="6">
      <c r="A6" t="inlineStr">
        <is>
          <t>Projektlaufzeit:</t>
        </is>
      </c>
      <c r="B6" t="inlineStr">
        <is>
          <t>24 Monate (01.03.2026 - 28.02.2028)</t>
        </is>
      </c>
    </row>
    <row r="7">
      <c r="A7" t="inlineStr">
        <is>
          <t>Projektgesamtkosten:</t>
        </is>
      </c>
      <c r="B7" s="4" t="n">
        <v>450000</v>
      </c>
    </row>
    <row r="8">
      <c r="A8" t="inlineStr">
        <is>
          <t>Förderfähige Kosten:</t>
        </is>
      </c>
      <c r="B8" s="4" t="n">
        <v>412000</v>
      </c>
    </row>
    <row r="9">
      <c r="A9" t="inlineStr">
        <is>
          <t>Angestrebte Förderung:</t>
        </is>
      </c>
      <c r="B9" s="4" t="n">
        <v>180250</v>
      </c>
    </row>
    <row r="10">
      <c r="A10" t="inlineStr">
        <is>
          <t>Eigenanteil:</t>
        </is>
      </c>
      <c r="B10" s="4" t="n">
        <v>231750</v>
      </c>
    </row>
    <row r="13">
      <c r="A13" s="3" t="inlineStr">
        <is>
          <t>Kostenaufstellung (in €)</t>
        </is>
      </c>
    </row>
    <row r="14">
      <c r="A14" s="5" t="inlineStr">
        <is>
          <t>Kostenart</t>
        </is>
      </c>
      <c r="B14" s="5" t="inlineStr">
        <is>
          <t>Jahr 1</t>
        </is>
      </c>
      <c r="C14" s="5" t="inlineStr">
        <is>
          <t>Jahr 2</t>
        </is>
      </c>
      <c r="D14" s="5" t="inlineStr">
        <is>
          <t>Gesamt</t>
        </is>
      </c>
      <c r="E14" s="5" t="inlineStr">
        <is>
          <t>Förderfähig</t>
        </is>
      </c>
    </row>
    <row r="15">
      <c r="A15" t="inlineStr">
        <is>
          <t>Personalkosten</t>
        </is>
      </c>
      <c r="B15" s="4" t="n">
        <v>156000</v>
      </c>
      <c r="C15" s="4" t="n">
        <v>156000</v>
      </c>
      <c r="D15" s="4" t="n">
        <v>312000</v>
      </c>
      <c r="E15" s="4" t="n">
        <v>312000</v>
      </c>
    </row>
    <row r="16">
      <c r="A16" t="inlineStr">
        <is>
          <t>TU Hamburg (Fremdleistung)</t>
        </is>
      </c>
      <c r="B16" s="4" t="n">
        <v>26000</v>
      </c>
      <c r="C16" s="4" t="n">
        <v>26000</v>
      </c>
      <c r="D16" s="4" t="n">
        <v>52000</v>
      </c>
      <c r="E16" s="4" t="n">
        <v>52000</v>
      </c>
    </row>
    <row r="17">
      <c r="A17" t="inlineStr">
        <is>
          <t>Cloud-Infrastruktur (AWS)</t>
        </is>
      </c>
      <c r="B17" s="4" t="n">
        <v>12000</v>
      </c>
      <c r="C17" s="4" t="n">
        <v>12000</v>
      </c>
      <c r="D17" s="4" t="n">
        <v>24000</v>
      </c>
      <c r="E17" s="4" t="n">
        <v>24000</v>
      </c>
    </row>
    <row r="18">
      <c r="A18" t="inlineStr">
        <is>
          <t>Software-Lizenzen</t>
        </is>
      </c>
      <c r="B18" s="4" t="n">
        <v>8000</v>
      </c>
      <c r="C18" s="4" t="n">
        <v>6000</v>
      </c>
      <c r="D18" s="4" t="n">
        <v>14000</v>
      </c>
      <c r="E18" s="4" t="n">
        <v>14000</v>
      </c>
    </row>
    <row r="19">
      <c r="A19" t="inlineStr">
        <is>
          <t>Datenlizenzen</t>
        </is>
      </c>
      <c r="B19" s="4" t="n">
        <v>14000</v>
      </c>
      <c r="C19" s="4" t="n">
        <v>14000</v>
      </c>
      <c r="D19" s="4" t="n">
        <v>28000</v>
      </c>
      <c r="E19" s="4" t="n">
        <v>0</v>
      </c>
    </row>
    <row r="20">
      <c r="A20" t="inlineStr">
        <is>
          <t>Reise- und Schulungskosten</t>
        </is>
      </c>
      <c r="B20" s="4" t="n">
        <v>6000</v>
      </c>
      <c r="C20" s="4" t="n">
        <v>6000</v>
      </c>
      <c r="D20" s="4" t="n">
        <v>12000</v>
      </c>
      <c r="E20" s="4" t="n">
        <v>10000</v>
      </c>
    </row>
    <row r="21">
      <c r="A21" t="inlineStr">
        <is>
          <t>Patentanmeldung</t>
        </is>
      </c>
      <c r="B21" s="4" t="n">
        <v>8000</v>
      </c>
      <c r="C21" s="4" t="n">
        <v>0</v>
      </c>
      <c r="D21" s="4" t="n">
        <v>8000</v>
      </c>
      <c r="E21" s="4" t="n">
        <v>0</v>
      </c>
    </row>
    <row r="22">
      <c r="A22" s="6" t="inlineStr">
        <is>
          <t>SUMME</t>
        </is>
      </c>
      <c r="B22" s="7">
        <f>SUM(B15:B21)</f>
        <v/>
      </c>
      <c r="C22" s="7">
        <f>SUM(C15:C21)</f>
        <v/>
      </c>
      <c r="D22" s="7">
        <f>SUM(D15:D21)</f>
        <v/>
      </c>
      <c r="E22" s="7">
        <f>SUM(E15:E21)</f>
        <v/>
      </c>
    </row>
    <row r="25">
      <c r="A25" s="3" t="inlineStr">
        <is>
          <t>Förderberechnung</t>
        </is>
      </c>
    </row>
    <row r="26">
      <c r="A26" t="inlineStr">
        <is>
          <t>Förderfähige Kosten HafenTech:</t>
        </is>
      </c>
      <c r="B26" s="4" t="n">
        <v>360000</v>
      </c>
    </row>
    <row r="27">
      <c r="A27" t="inlineStr">
        <is>
          <t>Förderquote (35% + 10% Kooperationsbonus):</t>
        </is>
      </c>
      <c r="B27" t="inlineStr">
        <is>
          <t>45%</t>
        </is>
      </c>
    </row>
    <row r="28">
      <c r="A28" t="inlineStr">
        <is>
          <t>Fördersumme HafenTech:</t>
        </is>
      </c>
      <c r="B28" s="4">
        <f>B26*0.45</f>
        <v/>
      </c>
    </row>
    <row r="30">
      <c r="A30" t="inlineStr">
        <is>
          <t>Förderfähige Kosten TU Hamburg:</t>
        </is>
      </c>
      <c r="B30" s="4" t="n">
        <v>52000</v>
      </c>
    </row>
    <row r="31">
      <c r="A31" t="inlineStr">
        <is>
          <t>Förderquote (nicht-wirtschaftl.):</t>
        </is>
      </c>
      <c r="B31" t="inlineStr">
        <is>
          <t>100%</t>
        </is>
      </c>
    </row>
    <row r="32">
      <c r="A32" t="inlineStr">
        <is>
          <t>Fördersumme TU Hamburg:</t>
        </is>
      </c>
      <c r="B32" s="4">
        <f>B30*1.0</f>
        <v/>
      </c>
    </row>
    <row r="34">
      <c r="A34" s="6" t="inlineStr">
        <is>
          <t>GESAMTFÖRDERUNG:</t>
        </is>
      </c>
      <c r="B34" s="7">
        <f>B28+B32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5" customWidth="1" min="4" max="4"/>
    <col width="15" customWidth="1" min="5" max="5"/>
  </cols>
  <sheetData>
    <row r="1">
      <c r="A1" s="2" t="inlineStr">
        <is>
          <t>Personalplanung - Smart Port Analytics</t>
        </is>
      </c>
    </row>
    <row r="3">
      <c r="A3" s="5" t="inlineStr">
        <is>
          <t>Position</t>
        </is>
      </c>
      <c r="B3" s="5" t="inlineStr">
        <is>
          <t>VZÄ</t>
        </is>
      </c>
      <c r="C3" s="5" t="inlineStr">
        <is>
          <t>Monate</t>
        </is>
      </c>
      <c r="D3" s="5" t="inlineStr">
        <is>
          <t>Jahresgehalt</t>
        </is>
      </c>
      <c r="E3" s="5" t="inlineStr">
        <is>
          <t>Projektkosten</t>
        </is>
      </c>
    </row>
    <row r="4">
      <c r="A4" t="inlineStr">
        <is>
          <t>Senior Data Scientist</t>
        </is>
      </c>
      <c r="B4" t="n">
        <v>1</v>
      </c>
      <c r="C4" t="n">
        <v>24</v>
      </c>
      <c r="D4" s="4" t="n">
        <v>95000</v>
      </c>
      <c r="E4" s="4" t="n">
        <v>190000</v>
      </c>
    </row>
    <row r="5">
      <c r="A5" t="inlineStr">
        <is>
          <t>Full-Stack Developer</t>
        </is>
      </c>
      <c r="B5" t="n">
        <v>1</v>
      </c>
      <c r="C5" t="n">
        <v>24</v>
      </c>
      <c r="D5" s="4" t="n">
        <v>75000</v>
      </c>
      <c r="E5" s="4" t="n">
        <v>150000</v>
      </c>
    </row>
    <row r="6">
      <c r="A6" t="inlineStr">
        <is>
          <t>ML Engineer</t>
        </is>
      </c>
      <c r="B6" t="n">
        <v>1</v>
      </c>
      <c r="C6" t="n">
        <v>20</v>
      </c>
      <c r="D6" s="4" t="n">
        <v>82000</v>
      </c>
      <c r="E6" s="4" t="n">
        <v>136667</v>
      </c>
    </row>
    <row r="7">
      <c r="A7" t="inlineStr">
        <is>
          <t>Projektmanager (TU Hamburg)</t>
        </is>
      </c>
      <c r="B7" t="n">
        <v>0.5</v>
      </c>
      <c r="C7" t="n">
        <v>24</v>
      </c>
      <c r="D7" s="4" t="n">
        <v>88000</v>
      </c>
      <c r="E7" s="4" t="n">
        <v>44000</v>
      </c>
    </row>
    <row r="8">
      <c r="A8" s="6" t="inlineStr">
        <is>
          <t>SUMME</t>
        </is>
      </c>
      <c r="E8" s="7">
        <f>SUM(E4:E7)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12" customWidth="1" min="4" max="4"/>
  </cols>
  <sheetData>
    <row r="1">
      <c r="A1" s="2" t="inlineStr">
        <is>
          <t>Projekt-Meilensteine</t>
        </is>
      </c>
    </row>
    <row r="3">
      <c r="A3" s="5" t="inlineStr">
        <is>
          <t>Meilenstein</t>
        </is>
      </c>
      <c r="B3" s="5" t="inlineStr">
        <is>
          <t>Monat</t>
        </is>
      </c>
      <c r="C3" s="5" t="inlineStr">
        <is>
          <t>Beschreibung</t>
        </is>
      </c>
      <c r="D3" s="5" t="inlineStr">
        <is>
          <t>Status</t>
        </is>
      </c>
    </row>
    <row r="4">
      <c r="A4" t="inlineStr">
        <is>
          <t>M1: Projektstart</t>
        </is>
      </c>
      <c r="B4" t="n">
        <v>1</v>
      </c>
      <c r="C4" t="inlineStr">
        <is>
          <t>Kickoff, Infrastruktur-Setup, Datenquellen-Anbindung</t>
        </is>
      </c>
      <c r="D4" t="inlineStr">
        <is>
          <t>Geplant</t>
        </is>
      </c>
    </row>
    <row r="5">
      <c r="A5" t="inlineStr">
        <is>
          <t>M2: Datenintegration</t>
        </is>
      </c>
      <c r="B5" t="n">
        <v>6</v>
      </c>
      <c r="C5" t="inlineStr">
        <is>
          <t>Vollständige Integration aller 8 Datenquellen</t>
        </is>
      </c>
      <c r="D5" t="inlineStr">
        <is>
          <t>Geplant</t>
        </is>
      </c>
    </row>
    <row r="6">
      <c r="A6" t="inlineStr">
        <is>
          <t>M3: Basis-ML-Modell</t>
        </is>
      </c>
      <c r="B6" t="n">
        <v>10</v>
      </c>
      <c r="C6" t="inlineStr">
        <is>
          <t>Erstes trainiertes LSTM-Modell, 85% Genauigkeit</t>
        </is>
      </c>
      <c r="D6" t="inlineStr">
        <is>
          <t>Geplant</t>
        </is>
      </c>
    </row>
    <row r="7">
      <c r="A7" t="inlineStr">
        <is>
          <t>M4: GNN-Integration</t>
        </is>
      </c>
      <c r="B7" t="n">
        <v>14</v>
      </c>
      <c r="C7" t="inlineStr">
        <is>
          <t>Graph Neural Network implementiert</t>
        </is>
      </c>
      <c r="D7" t="inlineStr">
        <is>
          <t>Geplant</t>
        </is>
      </c>
    </row>
    <row r="8">
      <c r="A8" t="inlineStr">
        <is>
          <t>M5: Optimierungs-Engine</t>
        </is>
      </c>
      <c r="B8" t="n">
        <v>18</v>
      </c>
      <c r="C8" t="inlineStr">
        <is>
          <t>MILP-Solver integriert, API entwickelt</t>
        </is>
      </c>
      <c r="D8" t="inlineStr">
        <is>
          <t>Geplant</t>
        </is>
      </c>
    </row>
    <row r="9">
      <c r="A9" t="inlineStr">
        <is>
          <t>M6: Pilotphase</t>
        </is>
      </c>
      <c r="B9" t="n">
        <v>21</v>
      </c>
      <c r="C9" t="inlineStr">
        <is>
          <t>Live-Test mit 3 Kunden (HHLA, Kühne+Nagel)</t>
        </is>
      </c>
      <c r="D9" t="inlineStr">
        <is>
          <t>Geplant</t>
        </is>
      </c>
    </row>
    <row r="10">
      <c r="A10" t="inlineStr">
        <is>
          <t>M7: Projektabschluss</t>
        </is>
      </c>
      <c r="B10" t="n">
        <v>24</v>
      </c>
      <c r="C10" t="inlineStr">
        <is>
          <t>Finale Evaluation, Dokumentation, Patentanmeldung</t>
        </is>
      </c>
      <c r="D10" t="inlineStr">
        <is>
          <t>Geplant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Umsatz- und Ertragsplanung (nach Projektende)</t>
        </is>
      </c>
    </row>
    <row r="2">
      <c r="A2" t="inlineStr">
        <is>
          <t>Alle Angaben in €</t>
        </is>
      </c>
    </row>
    <row r="4">
      <c r="A4" s="5" t="inlineStr"/>
      <c r="B4" s="5" t="inlineStr">
        <is>
          <t>Jahr 1 (2028)</t>
        </is>
      </c>
      <c r="C4" s="5" t="inlineStr">
        <is>
          <t>Jahr 2 (2029)</t>
        </is>
      </c>
      <c r="D4" s="5" t="inlineStr">
        <is>
          <t>Jahr 3 (2030)</t>
        </is>
      </c>
    </row>
    <row r="5">
      <c r="A5" t="inlineStr">
        <is>
          <t>Anzahl Kunden (SaaS)</t>
        </is>
      </c>
      <c r="B5" s="4" t="n">
        <v>12</v>
      </c>
      <c r="C5" s="4" t="n">
        <v>28</v>
      </c>
      <c r="D5" s="4" t="n">
        <v>52</v>
      </c>
    </row>
    <row r="6">
      <c r="A6" t="inlineStr">
        <is>
          <t>Durchschn. Umsatz/Kunde/Jahr</t>
        </is>
      </c>
      <c r="B6" s="4" t="n">
        <v>18000</v>
      </c>
      <c r="C6" s="4" t="n">
        <v>22000</v>
      </c>
      <c r="D6" s="4" t="n">
        <v>24000</v>
      </c>
    </row>
    <row r="7">
      <c r="A7" t="inlineStr">
        <is>
          <t>Umsatzerlöse Gesamt</t>
        </is>
      </c>
      <c r="B7" s="4">
        <f>B6*B7</f>
        <v/>
      </c>
      <c r="C7" s="4">
        <f>C6*C7</f>
        <v/>
      </c>
      <c r="D7" s="4">
        <f>D6*D7</f>
        <v/>
      </c>
    </row>
    <row r="8">
      <c r="A8" t="inlineStr"/>
      <c r="B8" t="inlineStr"/>
      <c r="C8" t="inlineStr"/>
      <c r="D8" t="inlineStr"/>
    </row>
    <row r="9">
      <c r="A9" t="inlineStr">
        <is>
          <t>Operative Kosten</t>
        </is>
      </c>
      <c r="B9" t="inlineStr"/>
      <c r="C9" t="inlineStr"/>
      <c r="D9" t="inlineStr"/>
    </row>
    <row r="10">
      <c r="A10" t="inlineStr">
        <is>
          <t>Personalkosten</t>
        </is>
      </c>
      <c r="B10" s="4" t="n">
        <v>280000</v>
      </c>
      <c r="C10" s="4" t="n">
        <v>420000</v>
      </c>
      <c r="D10" s="4" t="n">
        <v>560000</v>
      </c>
    </row>
    <row r="11">
      <c r="A11" t="inlineStr">
        <is>
          <t>Cloud-Infrastruktur</t>
        </is>
      </c>
      <c r="B11" s="4" t="n">
        <v>48000</v>
      </c>
      <c r="C11" s="4" t="n">
        <v>72000</v>
      </c>
      <c r="D11" s="4" t="n">
        <v>96000</v>
      </c>
    </row>
    <row r="12">
      <c r="A12" t="inlineStr">
        <is>
          <t>Marketing &amp; Vertrieb</t>
        </is>
      </c>
      <c r="B12" s="4" t="n">
        <v>85000</v>
      </c>
      <c r="C12" s="4" t="n">
        <v>120000</v>
      </c>
      <c r="D12" s="4" t="n">
        <v>150000</v>
      </c>
    </row>
    <row r="13">
      <c r="A13" t="inlineStr">
        <is>
          <t>Sonstige Kosten</t>
        </is>
      </c>
      <c r="B13" s="4" t="n">
        <v>42000</v>
      </c>
      <c r="C13" s="4" t="n">
        <v>58000</v>
      </c>
      <c r="D13" s="4" t="n">
        <v>72000</v>
      </c>
    </row>
    <row r="14">
      <c r="A14" s="6" t="inlineStr">
        <is>
          <t>Summe Kosten</t>
        </is>
      </c>
      <c r="B14" s="7">
        <f>SUM(B11:B14)</f>
        <v/>
      </c>
      <c r="C14" s="7">
        <f>SUM(C11:C14)</f>
        <v/>
      </c>
      <c r="D14" s="7">
        <f>SUM(D11:D14)</f>
        <v/>
      </c>
    </row>
    <row r="15">
      <c r="A15" t="inlineStr"/>
      <c r="B15" t="inlineStr"/>
      <c r="C15" t="inlineStr"/>
      <c r="D15" t="inlineStr"/>
    </row>
    <row r="16">
      <c r="A16" s="6" t="inlineStr">
        <is>
          <t>EBITDA</t>
        </is>
      </c>
      <c r="B16" s="7">
        <f>B8-B15</f>
        <v/>
      </c>
      <c r="C16" s="7">
        <f>C8-C15</f>
        <v/>
      </c>
      <c r="D16" s="7">
        <f>D8-D15</f>
        <v/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D50E857CBF4440AC711163E8C1E0D3" ma:contentTypeVersion="11" ma:contentTypeDescription="Create a new document." ma:contentTypeScope="" ma:versionID="7110e8549d03cffc1040bc75be10aef2">
  <xsd:schema xmlns:xsd="http://www.w3.org/2001/XMLSchema" xmlns:xs="http://www.w3.org/2001/XMLSchema" xmlns:p="http://schemas.microsoft.com/office/2006/metadata/properties" xmlns:ns2="d67f90a6-e5c0-4de5-8757-0f0d9a0b59d2" xmlns:ns3="3acad439-68ea-4847-a91f-68431224441c" targetNamespace="http://schemas.microsoft.com/office/2006/metadata/properties" ma:root="true" ma:fieldsID="bcff6d837c35e3c7e8a09bc23bb1cc48" ns2:_="" ns3:_="">
    <xsd:import namespace="d67f90a6-e5c0-4de5-8757-0f0d9a0b59d2"/>
    <xsd:import namespace="3acad439-68ea-4847-a91f-6843122444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f90a6-e5c0-4de5-8757-0f0d9a0b59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ef29edb-6c51-439b-9e04-37f709b51a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cad439-68ea-4847-a91f-68431224441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e3b9c2a-b9e5-472d-8cb0-7589d8c6b8ba}" ma:internalName="TaxCatchAll" ma:showField="CatchAllData" ma:web="3acad439-68ea-4847-a91f-6843122444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cad439-68ea-4847-a91f-68431224441c" xsi:nil="true"/>
    <lcf76f155ced4ddcb4097134ff3c332f xmlns="d67f90a6-e5c0-4de5-8757-0f0d9a0b59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6B8B00-4541-4DBE-B3AA-EEFAE24418B3}"/>
</file>

<file path=customXml/itemProps2.xml><?xml version="1.0" encoding="utf-8"?>
<ds:datastoreItem xmlns:ds="http://schemas.openxmlformats.org/officeDocument/2006/customXml" ds:itemID="{B05C4E49-0BBE-46C2-A1BB-8BF3AD11F2F3}"/>
</file>

<file path=customXml/itemProps3.xml><?xml version="1.0" encoding="utf-8"?>
<ds:datastoreItem xmlns:ds="http://schemas.openxmlformats.org/officeDocument/2006/customXml" ds:itemID="{5DC1B8B4-9633-4E64-8205-90BB1C2F80B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2025-11-18T22:17:55Z</dcterms:created>
  <dcterms:modified xsi:type="dcterms:W3CDTF">2025-11-18T22:17:55Z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0x010100E1D50E857CBF4440AC711163E8C1E0D3</vt:lpwstr>
  </property>
</Properties>
</file>